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zcemagi_ucl_ac_uk/Documents/Ansys and Abaqus files/propellant project/"/>
    </mc:Choice>
  </mc:AlternateContent>
  <xr:revisionPtr revIDLastSave="47" documentId="11_F1DF00D1C5872E4831609E66072ECA766ECE7D8F" xr6:coauthVersionLast="47" xr6:coauthVersionMax="47" xr10:uidLastSave="{2E2045AB-ECD4-4F28-8168-2EA17F119672}"/>
  <bookViews>
    <workbookView xWindow="-28920" yWindow="1350" windowWidth="29040" windowHeight="15720" tabRatio="500" xr2:uid="{00000000-000D-0000-FFFF-FFFF00000000}"/>
  </bookViews>
  <sheets>
    <sheet name="Eps sweep resul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6" i="1" l="1"/>
  <c r="I12" i="1"/>
  <c r="I6" i="1"/>
  <c r="I5" i="1"/>
</calcChain>
</file>

<file path=xl/sharedStrings.xml><?xml version="1.0" encoding="utf-8"?>
<sst xmlns="http://schemas.openxmlformats.org/spreadsheetml/2006/main" count="33" uniqueCount="33">
  <si>
    <t>Expansion-Ratio Sweep (vacuum) — enter thrust_flux, Cf_vac computes automatically</t>
  </si>
  <si>
    <t>Pc [Pa]</t>
  </si>
  <si>
    <t>At [m^2]</t>
  </si>
  <si>
    <t>Pamb [Pa]</t>
  </si>
  <si>
    <t>Pamb=0 vacuum; Re varies per row (own column)</t>
  </si>
  <si>
    <t>run_id</t>
  </si>
  <si>
    <t>eps</t>
  </si>
  <si>
    <t>% bell</t>
  </si>
  <si>
    <t>theta_n</t>
  </si>
  <si>
    <t>theta_e</t>
  </si>
  <si>
    <t>Re_row [m]</t>
  </si>
  <si>
    <t>length_mm</t>
  </si>
  <si>
    <t>thrust_flux I [N]</t>
  </si>
  <si>
    <t>Cf_vac (auto)</t>
  </si>
  <si>
    <t>exit_mach</t>
  </si>
  <si>
    <t>mdot_kgs</t>
  </si>
  <si>
    <t>converged</t>
  </si>
  <si>
    <t>notes</t>
  </si>
  <si>
    <t>eps_01</t>
  </si>
  <si>
    <t>eps_02</t>
  </si>
  <si>
    <t>eps_03</t>
  </si>
  <si>
    <t>eps_04</t>
  </si>
  <si>
    <t>eps_05</t>
  </si>
  <si>
    <t>eps_06</t>
  </si>
  <si>
    <t>eps_07</t>
  </si>
  <si>
    <t>eps_08</t>
  </si>
  <si>
    <t>eps_09</t>
  </si>
  <si>
    <t>eps_10</t>
  </si>
  <si>
    <t>eps_11</t>
  </si>
  <si>
    <t>eps_12</t>
  </si>
  <si>
    <t>eps_13</t>
  </si>
  <si>
    <t>Enter thrust_flux integral (yellow) -&gt; Cf_vac auto-computes. Pamb=0 (vacuum). Bell shape fixed at baseline (0.80/22/14); only eps varies, so Re and length differ per row. Test eps=2, ~20 (eps_08), and 100 first to confirm meshing/cell-cap and convergence across the size range before running all 13.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</si>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</sst>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8"/>
      <color rgb="FF595959"/>
      <name val="Arial"/>
      <charset val="1"/>
    </font>
    <font>
      <b/>
      <sz val="10"/>
      <color rgb="FF0000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sz val="10"/>
      <color rgb="FF40404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'Eps sweep results'!$B$5:$B$17</c:f>
              <c:numCache>
                <c:formatCode>General</c:formatCode>
                <c:ptCount val="13"/>
                <c:pt idx="0">
                  <c:v>2</c:v>
                </c:pt>
                <c:pt idx="1">
                  <c:v>2.77</c:v>
                </c:pt>
                <c:pt idx="2">
                  <c:v>3.84</c:v>
                </c:pt>
                <c:pt idx="3">
                  <c:v>5.32</c:v>
                </c:pt>
                <c:pt idx="4">
                  <c:v>7.37</c:v>
                </c:pt>
                <c:pt idx="5">
                  <c:v>10.210000000000001</c:v>
                </c:pt>
                <c:pt idx="6">
                  <c:v>14.14</c:v>
                </c:pt>
                <c:pt idx="7">
                  <c:v>19.59</c:v>
                </c:pt>
                <c:pt idx="8">
                  <c:v>27.14</c:v>
                </c:pt>
                <c:pt idx="9">
                  <c:v>37.61</c:v>
                </c:pt>
                <c:pt idx="10">
                  <c:v>52.1</c:v>
                </c:pt>
                <c:pt idx="11">
                  <c:v>72.180000000000007</c:v>
                </c:pt>
                <c:pt idx="12">
                  <c:v>100</c:v>
                </c:pt>
              </c:numCache>
            </c:numRef>
          </c:cat>
          <c:val>
            <c:numRef>
              <c:f>'Eps sweep results'!$I$5:$I$17</c:f>
              <c:numCache>
                <c:formatCode>0.0000</c:formatCode>
                <c:ptCount val="13"/>
                <c:pt idx="0">
                  <c:v>1.4052296978790597</c:v>
                </c:pt>
                <c:pt idx="1">
                  <c:v>1.4795690571954427</c:v>
                </c:pt>
                <c:pt idx="2">
                  <c:v>1.5563</c:v>
                </c:pt>
                <c:pt idx="3">
                  <c:v>1.6323000000000001</c:v>
                </c:pt>
                <c:pt idx="4">
                  <c:v>1.7145999999999999</c:v>
                </c:pt>
                <c:pt idx="5">
                  <c:v>1.7408999999999999</c:v>
                </c:pt>
                <c:pt idx="6">
                  <c:v>1.7507999999999999</c:v>
                </c:pt>
                <c:pt idx="7">
                  <c:v>1.7583036591369472</c:v>
                </c:pt>
                <c:pt idx="8">
                  <c:v>1.7765</c:v>
                </c:pt>
                <c:pt idx="9">
                  <c:v>1.8133999999999999</c:v>
                </c:pt>
                <c:pt idx="10">
                  <c:v>1.8504</c:v>
                </c:pt>
                <c:pt idx="11">
                  <c:v>1.857687536441532</c:v>
                </c:pt>
                <c:pt idx="12">
                  <c:v>1.9298999999999999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2F-4EB6-B060-CF42242B6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874432"/>
        <c:axId val="999638096"/>
      </c:lineChart>
      <c:catAx>
        <c:axId val="192287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38096"/>
        <c:crosses val="autoZero"/>
        <c:auto val="1"/>
        <c:lblAlgn val="ctr"/>
        <c:lblOffset val="100"/>
        <c:noMultiLvlLbl val="0"/>
      </c:catAx>
      <c:valAx>
        <c:axId val="9996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7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22</xdr:row>
      <xdr:rowOff>74612</xdr:rowOff>
    </xdr:from>
    <xdr:to>
      <xdr:col>14</xdr:col>
      <xdr:colOff>282575</xdr:colOff>
      <xdr:row>43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FBE9F-A870-7423-1908-EECB54D20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showGridLines="0" tabSelected="1" zoomScaleNormal="100" workbookViewId="0">
      <selection activeCell="S27" sqref="S27"/>
    </sheetView>
  </sheetViews>
  <sheetFormatPr defaultColWidth="8.6328125" defaultRowHeight="14.5" x14ac:dyDescent="0.35"/>
  <cols>
    <col min="1" max="1" width="10" customWidth="1"/>
    <col min="2" max="2" width="8" customWidth="1"/>
    <col min="3" max="5" width="7" customWidth="1"/>
    <col min="6" max="6" width="12" customWidth="1"/>
    <col min="7" max="7" width="10" customWidth="1"/>
    <col min="8" max="8" width="15" customWidth="1"/>
    <col min="9" max="9" width="13" customWidth="1"/>
    <col min="10" max="12" width="10" customWidth="1"/>
    <col min="13" max="13" width="26" customWidth="1"/>
  </cols>
  <sheetData>
    <row r="1" spans="1:13" ht="21.75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35">
      <c r="A2" s="1" t="s">
        <v>1</v>
      </c>
      <c r="B2" s="2">
        <v>5000000</v>
      </c>
      <c r="C2" s="1" t="s">
        <v>2</v>
      </c>
      <c r="D2" s="3">
        <v>6.3060107634891802E-4</v>
      </c>
      <c r="E2" s="1" t="s">
        <v>3</v>
      </c>
      <c r="F2" s="2">
        <v>0</v>
      </c>
      <c r="H2" s="1" t="s">
        <v>4</v>
      </c>
    </row>
    <row r="4" spans="1:13" x14ac:dyDescent="0.3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</row>
    <row r="5" spans="1:13" x14ac:dyDescent="0.35">
      <c r="A5" s="5" t="s">
        <v>18</v>
      </c>
      <c r="B5" s="6">
        <v>2</v>
      </c>
      <c r="C5" s="6">
        <v>0.8</v>
      </c>
      <c r="D5" s="6">
        <v>22</v>
      </c>
      <c r="E5" s="6">
        <v>14</v>
      </c>
      <c r="F5" s="7">
        <v>2.0036000000000002E-2</v>
      </c>
      <c r="G5" s="6">
        <v>17.52</v>
      </c>
      <c r="H5" s="8">
        <v>4430.6967999999997</v>
      </c>
      <c r="I5" s="9">
        <f t="shared" ref="I5:I16" si="0">IF(H5="","",(H5-$F$2*PI()*F5^2)/($B$2*$D$2))</f>
        <v>1.4052296978790597</v>
      </c>
      <c r="J5" s="8">
        <v>1.9979</v>
      </c>
      <c r="K5" s="8">
        <v>1.7141999999999999</v>
      </c>
      <c r="L5" s="8" t="s">
        <v>32</v>
      </c>
      <c r="M5" s="10"/>
    </row>
    <row r="6" spans="1:13" x14ac:dyDescent="0.35">
      <c r="A6" s="5" t="s">
        <v>19</v>
      </c>
      <c r="B6" s="6">
        <v>2.77</v>
      </c>
      <c r="C6" s="6">
        <v>0.8</v>
      </c>
      <c r="D6" s="6">
        <v>22</v>
      </c>
      <c r="E6" s="6">
        <v>14</v>
      </c>
      <c r="F6" s="7">
        <v>2.358E-2</v>
      </c>
      <c r="G6" s="6">
        <v>28.1</v>
      </c>
      <c r="H6" s="8">
        <v>4665.0892000000003</v>
      </c>
      <c r="I6" s="9">
        <f>IF(H6="","",(H6-$F$2*PI()*F6^2)/($B$2*$D$2))</f>
        <v>1.4795690571954427</v>
      </c>
      <c r="J6" s="8"/>
      <c r="K6" s="8"/>
      <c r="L6" s="8"/>
      <c r="M6" s="10"/>
    </row>
    <row r="7" spans="1:13" x14ac:dyDescent="0.35">
      <c r="A7" s="5" t="s">
        <v>20</v>
      </c>
      <c r="B7" s="6">
        <v>3.84</v>
      </c>
      <c r="C7" s="6">
        <v>0.8</v>
      </c>
      <c r="D7" s="6">
        <v>22</v>
      </c>
      <c r="E7" s="6">
        <v>14</v>
      </c>
      <c r="F7" s="7">
        <v>2.7762999999999999E-2</v>
      </c>
      <c r="G7" s="6">
        <v>40.590000000000003</v>
      </c>
      <c r="H7" s="8"/>
      <c r="I7" s="9">
        <v>1.5563</v>
      </c>
      <c r="J7" s="8"/>
      <c r="K7" s="8"/>
      <c r="L7" s="8"/>
      <c r="M7" s="10"/>
    </row>
    <row r="8" spans="1:13" x14ac:dyDescent="0.35">
      <c r="A8" s="5" t="s">
        <v>21</v>
      </c>
      <c r="B8" s="6">
        <v>5.32</v>
      </c>
      <c r="C8" s="6">
        <v>0.8</v>
      </c>
      <c r="D8" s="6">
        <v>22</v>
      </c>
      <c r="E8" s="6">
        <v>14</v>
      </c>
      <c r="F8" s="7">
        <v>3.2677999999999999E-2</v>
      </c>
      <c r="G8" s="6">
        <v>55.27</v>
      </c>
      <c r="H8" s="8"/>
      <c r="I8" s="9">
        <v>1.6323000000000001</v>
      </c>
      <c r="J8" s="8"/>
      <c r="K8" s="8"/>
      <c r="L8" s="8"/>
      <c r="M8" s="10"/>
    </row>
    <row r="9" spans="1:13" x14ac:dyDescent="0.35">
      <c r="A9" s="5" t="s">
        <v>22</v>
      </c>
      <c r="B9" s="6">
        <v>7.37</v>
      </c>
      <c r="C9" s="6">
        <v>0.8</v>
      </c>
      <c r="D9" s="6">
        <v>22</v>
      </c>
      <c r="E9" s="6">
        <v>14</v>
      </c>
      <c r="F9" s="7">
        <v>3.8462000000000003E-2</v>
      </c>
      <c r="G9" s="6">
        <v>72.53</v>
      </c>
      <c r="H9" s="8"/>
      <c r="I9" s="9">
        <v>1.7145999999999999</v>
      </c>
      <c r="J9" s="8"/>
      <c r="K9" s="8"/>
      <c r="L9" s="8"/>
      <c r="M9" s="10"/>
    </row>
    <row r="10" spans="1:13" x14ac:dyDescent="0.35">
      <c r="A10" s="5" t="s">
        <v>23</v>
      </c>
      <c r="B10" s="6">
        <v>10.210000000000001</v>
      </c>
      <c r="C10" s="6">
        <v>0.8</v>
      </c>
      <c r="D10" s="6">
        <v>22</v>
      </c>
      <c r="E10" s="6">
        <v>14</v>
      </c>
      <c r="F10" s="7">
        <v>4.5269999999999998E-2</v>
      </c>
      <c r="G10" s="6">
        <v>92.86</v>
      </c>
      <c r="H10" s="8"/>
      <c r="I10" s="9">
        <v>1.7408999999999999</v>
      </c>
      <c r="J10" s="8"/>
      <c r="K10" s="8"/>
      <c r="L10" s="8"/>
      <c r="M10" s="10"/>
    </row>
    <row r="11" spans="1:13" x14ac:dyDescent="0.35">
      <c r="A11" s="5" t="s">
        <v>24</v>
      </c>
      <c r="B11" s="6">
        <v>14.14</v>
      </c>
      <c r="C11" s="6">
        <v>0.8</v>
      </c>
      <c r="D11" s="6">
        <v>22</v>
      </c>
      <c r="E11" s="6">
        <v>14</v>
      </c>
      <c r="F11" s="7">
        <v>5.3275000000000003E-2</v>
      </c>
      <c r="G11" s="6">
        <v>116.76</v>
      </c>
      <c r="H11" s="8"/>
      <c r="I11" s="9">
        <v>1.7507999999999999</v>
      </c>
      <c r="J11" s="8"/>
      <c r="K11" s="8"/>
      <c r="L11" s="8"/>
      <c r="M11" s="10"/>
    </row>
    <row r="12" spans="1:13" x14ac:dyDescent="0.35">
      <c r="A12" s="5" t="s">
        <v>25</v>
      </c>
      <c r="B12" s="6">
        <v>19.59</v>
      </c>
      <c r="C12" s="6">
        <v>0.8</v>
      </c>
      <c r="D12" s="6">
        <v>22</v>
      </c>
      <c r="E12" s="6">
        <v>14</v>
      </c>
      <c r="F12" s="7">
        <v>6.2708E-2</v>
      </c>
      <c r="G12" s="6">
        <v>144.91999999999999</v>
      </c>
      <c r="H12" s="8">
        <v>5543.9408999999996</v>
      </c>
      <c r="I12" s="9">
        <f t="shared" si="0"/>
        <v>1.7583036591369472</v>
      </c>
      <c r="J12" s="8"/>
      <c r="K12" s="8"/>
      <c r="L12" s="8"/>
      <c r="M12" s="10"/>
    </row>
    <row r="13" spans="1:13" x14ac:dyDescent="0.35">
      <c r="A13" s="5" t="s">
        <v>26</v>
      </c>
      <c r="B13" s="6">
        <v>27.14</v>
      </c>
      <c r="C13" s="6">
        <v>0.8</v>
      </c>
      <c r="D13" s="6">
        <v>22</v>
      </c>
      <c r="E13" s="6">
        <v>14</v>
      </c>
      <c r="F13" s="7">
        <v>7.3809E-2</v>
      </c>
      <c r="G13" s="6">
        <v>178.07</v>
      </c>
      <c r="H13" s="8"/>
      <c r="I13" s="9">
        <v>1.7765</v>
      </c>
      <c r="J13" s="8"/>
      <c r="K13" s="8"/>
      <c r="L13" s="8"/>
      <c r="M13" s="10"/>
    </row>
    <row r="14" spans="1:13" x14ac:dyDescent="0.35">
      <c r="A14" s="5" t="s">
        <v>27</v>
      </c>
      <c r="B14" s="6">
        <v>37.61</v>
      </c>
      <c r="C14" s="6">
        <v>0.8</v>
      </c>
      <c r="D14" s="6">
        <v>22</v>
      </c>
      <c r="E14" s="6">
        <v>14</v>
      </c>
      <c r="F14" s="7">
        <v>8.6887000000000006E-2</v>
      </c>
      <c r="G14" s="6">
        <v>217.11</v>
      </c>
      <c r="H14" s="8"/>
      <c r="I14" s="9">
        <v>1.8133999999999999</v>
      </c>
      <c r="J14" s="8"/>
      <c r="K14" s="8"/>
      <c r="L14" s="8"/>
      <c r="M14" s="10"/>
    </row>
    <row r="15" spans="1:13" x14ac:dyDescent="0.35">
      <c r="A15" s="5" t="s">
        <v>28</v>
      </c>
      <c r="B15" s="6">
        <v>52.1</v>
      </c>
      <c r="C15" s="6">
        <v>0.8</v>
      </c>
      <c r="D15" s="6">
        <v>22</v>
      </c>
      <c r="E15" s="6">
        <v>14</v>
      </c>
      <c r="F15" s="7">
        <v>0.10226399999999999</v>
      </c>
      <c r="G15" s="6">
        <v>263.02</v>
      </c>
      <c r="H15" s="8"/>
      <c r="I15" s="9">
        <v>1.8504</v>
      </c>
      <c r="J15" s="8"/>
      <c r="K15" s="8"/>
      <c r="L15" s="8"/>
      <c r="M15" s="10"/>
    </row>
    <row r="16" spans="1:13" x14ac:dyDescent="0.35">
      <c r="A16" s="5" t="s">
        <v>29</v>
      </c>
      <c r="B16" s="6">
        <v>72.180000000000007</v>
      </c>
      <c r="C16" s="6">
        <v>0.8</v>
      </c>
      <c r="D16" s="6">
        <v>22</v>
      </c>
      <c r="E16" s="6">
        <v>14</v>
      </c>
      <c r="F16" s="7">
        <v>0.120368</v>
      </c>
      <c r="G16" s="6">
        <v>317.08</v>
      </c>
      <c r="H16" s="8">
        <v>5857.2987999999996</v>
      </c>
      <c r="I16" s="9">
        <f t="shared" si="0"/>
        <v>1.857687536441532</v>
      </c>
      <c r="J16" s="8"/>
      <c r="K16" s="8"/>
      <c r="L16" s="8"/>
      <c r="M16" s="10"/>
    </row>
    <row r="17" spans="1:13" x14ac:dyDescent="0.35">
      <c r="A17" s="5" t="s">
        <v>30</v>
      </c>
      <c r="B17" s="6">
        <v>100</v>
      </c>
      <c r="C17" s="6">
        <v>0.8</v>
      </c>
      <c r="D17" s="6">
        <v>22</v>
      </c>
      <c r="E17" s="6">
        <v>14</v>
      </c>
      <c r="F17" s="7">
        <v>0.141678</v>
      </c>
      <c r="G17" s="6">
        <v>380.7</v>
      </c>
      <c r="H17" s="8"/>
      <c r="I17" s="9">
        <v>1.9298999999999999</v>
      </c>
      <c r="J17" s="8"/>
      <c r="K17" s="8"/>
      <c r="L17" s="8"/>
      <c r="M17" s="10"/>
    </row>
    <row r="19" spans="1:13" ht="15" customHeight="1" x14ac:dyDescent="0.35">
      <c r="A19" s="12" t="s">
        <v>31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3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3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</sheetData>
  <mergeCells count="2">
    <mergeCell ref="A1:L1"/>
    <mergeCell ref="A19:L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Eps sweep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Aryan Girish</cp:lastModifiedBy>
  <cp:revision>0</cp:revision>
  <dcterms:created xsi:type="dcterms:W3CDTF">2026-09-07T12:33:21Z</dcterms:created>
  <dcterms:modified xsi:type="dcterms:W3CDTF">2026-09-08T15:27:18Z</dcterms:modified>
  <dc:language>en-US</dc:language>
</cp:coreProperties>
</file>