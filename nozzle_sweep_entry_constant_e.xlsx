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zcemagi_ucl_ac_uk/Documents/Ansys and Abaqus files/propellant project/"/>
    </mc:Choice>
  </mc:AlternateContent>
  <xr:revisionPtr revIDLastSave="119" documentId="11_F1DFC0F979FF97381CE616D5732D50326E9C414E" xr6:coauthVersionLast="47" xr6:coauthVersionMax="47" xr10:uidLastSave="{FB5CAF80-2C06-4627-B34F-457265999329}"/>
  <bookViews>
    <workbookView xWindow="-28920" yWindow="1350" windowWidth="29040" windowHeight="15720" tabRatio="500" xr2:uid="{00000000-000D-0000-FFFF-FFFF00000000}"/>
  </bookViews>
  <sheets>
    <sheet name="Sweep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1" l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9" i="1"/>
  <c r="G8" i="1"/>
  <c r="G7" i="1"/>
  <c r="G6" i="1"/>
</calcChain>
</file>

<file path=xl/sharedStrings.xml><?xml version="1.0" encoding="utf-8"?>
<sst xmlns="http://schemas.openxmlformats.org/spreadsheetml/2006/main" count="85" uniqueCount="55">
  <si>
    <t>Nozzle Sweep — lengths prefilled from Claude Code output</t>
  </si>
  <si>
    <t>CONFIRMED: constants below use the real engine_design.json (Rt=14.168mm, eps=7.706). Baseline row recomputes to Cf=1.5057, matching the hand-validated 1.5061 (rounding only) - constants are correct.</t>
  </si>
  <si>
    <t>CONSTANTS (from engine_design.json):</t>
  </si>
  <si>
    <t>Pc [Pa]</t>
  </si>
  <si>
    <t>At [m^2]</t>
  </si>
  <si>
    <t>Re [m]</t>
  </si>
  <si>
    <t>Pamb [Pa]</t>
  </si>
  <si>
    <t>run_id</t>
  </si>
  <si>
    <t>% bell</t>
  </si>
  <si>
    <t>theta_n</t>
  </si>
  <si>
    <t>theta_e</t>
  </si>
  <si>
    <t>eps</t>
  </si>
  <si>
    <t>thrust_flux I [N]</t>
  </si>
  <si>
    <t>peak_heatflux [W/m^2]</t>
  </si>
  <si>
    <t>length_mm</t>
  </si>
  <si>
    <t>exit_mach</t>
  </si>
  <si>
    <t>mdot_kgs</t>
  </si>
  <si>
    <t>converged</t>
  </si>
  <si>
    <t>notes</t>
  </si>
  <si>
    <t>baseline_validated</t>
  </si>
  <si>
    <t>VALIDATED: Cf recomputes to 1.5057 with corrected At/Re, matching hand-validated 1.5061 (rounding only). Constants confirmed correct.</t>
  </si>
  <si>
    <t>run_01</t>
  </si>
  <si>
    <t>run_02</t>
  </si>
  <si>
    <t>run_03</t>
  </si>
  <si>
    <t>run_04</t>
  </si>
  <si>
    <t>run_05</t>
  </si>
  <si>
    <t>run_06</t>
  </si>
  <si>
    <t>run_07</t>
  </si>
  <si>
    <t>run_08</t>
  </si>
  <si>
    <t>run_09</t>
  </si>
  <si>
    <t>run_10</t>
  </si>
  <si>
    <t>run_11</t>
  </si>
  <si>
    <t>run_12</t>
  </si>
  <si>
    <t>run_13</t>
  </si>
  <si>
    <t>run_14</t>
  </si>
  <si>
    <t>run_15</t>
  </si>
  <si>
    <t>run_16</t>
  </si>
  <si>
    <t>run_17</t>
  </si>
  <si>
    <t>run_18</t>
  </si>
  <si>
    <t>run_19</t>
  </si>
  <si>
    <t>run_20</t>
  </si>
  <si>
    <t>run_21</t>
  </si>
  <si>
    <t>run_22</t>
  </si>
  <si>
    <t>run_23</t>
  </si>
  <si>
    <t>run_24</t>
  </si>
  <si>
    <t>run_25</t>
  </si>
  <si>
    <t>run_26</t>
  </si>
  <si>
    <t>run_27</t>
  </si>
  <si>
    <t>run_28</t>
  </si>
  <si>
    <t>run_29</t>
  </si>
  <si>
    <t>run_30</t>
  </si>
  <si>
    <t>length_mm is PREFILLED (computed from your real geometry). Enter thrust_flux integral -&gt; Cf auto-computes. Enter peak_heatflux as Facet Maximum of Total Surface Heat Flux on the wall (isothermal wall at Tw above, same for every run). MUST re-validate the baseline row first using the corrected At/Re constants before trusting any sweep row.</t>
  </si>
  <si>
    <t>yes</t>
  </si>
  <si>
    <t xml:space="preserve">Cf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</si>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</sst>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9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375623"/>
      <name val="Arial"/>
      <charset val="1"/>
    </font>
    <font>
      <b/>
      <sz val="9"/>
      <name val="Arial"/>
      <charset val="1"/>
    </font>
    <font>
      <i/>
      <sz val="8"/>
      <color rgb="FF595959"/>
      <name val="Arial"/>
      <charset val="1"/>
    </font>
    <font>
      <b/>
      <sz val="10"/>
      <color rgb="FF0000FF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sz val="10"/>
      <color rgb="FF40404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16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showGridLines="0" tabSelected="1" zoomScaleNormal="100" workbookViewId="0">
      <selection activeCell="H13" sqref="H13"/>
    </sheetView>
  </sheetViews>
  <sheetFormatPr defaultColWidth="8.6328125" defaultRowHeight="14.5" x14ac:dyDescent="0.35"/>
  <cols>
    <col min="1" max="1" width="14" customWidth="1"/>
    <col min="2" max="4" width="8" customWidth="1"/>
    <col min="5" max="5" width="6" customWidth="1"/>
    <col min="6" max="6" width="15" customWidth="1"/>
    <col min="7" max="7" width="6.36328125" customWidth="1"/>
    <col min="8" max="8" width="19.1796875" bestFit="1" customWidth="1"/>
    <col min="9" max="9" width="11" customWidth="1"/>
    <col min="10" max="11" width="10" hidden="1" customWidth="1"/>
    <col min="12" max="12" width="11" customWidth="1"/>
    <col min="13" max="13" width="122.26953125" bestFit="1" customWidth="1"/>
  </cols>
  <sheetData>
    <row r="1" spans="1:15" ht="21.75" customHeight="1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5" ht="30" customHeight="1" x14ac:dyDescent="0.3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5" ht="15" customHeight="1" x14ac:dyDescent="0.35">
      <c r="A3" s="1" t="s">
        <v>2</v>
      </c>
      <c r="C3" s="2" t="s">
        <v>3</v>
      </c>
      <c r="D3" s="3">
        <v>5000000</v>
      </c>
      <c r="E3" s="2" t="s">
        <v>4</v>
      </c>
      <c r="F3" s="3">
        <v>6.3061888025714105E-4</v>
      </c>
      <c r="G3" s="2" t="s">
        <v>5</v>
      </c>
      <c r="H3" s="3">
        <v>3.9329918867752597E-2</v>
      </c>
      <c r="I3" s="2" t="s">
        <v>6</v>
      </c>
      <c r="J3" s="3">
        <v>101325</v>
      </c>
      <c r="N3" s="2"/>
      <c r="O3" s="4"/>
    </row>
    <row r="5" spans="1:15" ht="15" customHeight="1" x14ac:dyDescent="0.3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53</v>
      </c>
      <c r="H5" s="5" t="s">
        <v>13</v>
      </c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</row>
    <row r="6" spans="1:15" ht="15" customHeight="1" x14ac:dyDescent="0.35">
      <c r="A6" s="6" t="s">
        <v>19</v>
      </c>
      <c r="B6" s="7">
        <v>0.8</v>
      </c>
      <c r="C6" s="7">
        <v>22</v>
      </c>
      <c r="D6" s="7">
        <v>14</v>
      </c>
      <c r="E6" s="7">
        <v>7.7060000000000004</v>
      </c>
      <c r="F6" s="8">
        <v>5239.87</v>
      </c>
      <c r="G6" s="9">
        <f t="shared" ref="G6:G36" si="0">IF(F6="","",(F6-$J$3*PI()*$H$3^2)/($D$3*$F$3))</f>
        <v>1.505656217077451</v>
      </c>
      <c r="I6" s="8">
        <v>158.88999999999999</v>
      </c>
      <c r="J6" s="8"/>
      <c r="K6" s="8"/>
      <c r="L6" s="8" t="s">
        <v>52</v>
      </c>
      <c r="M6" s="10" t="s">
        <v>20</v>
      </c>
    </row>
    <row r="7" spans="1:15" ht="15" customHeight="1" x14ac:dyDescent="0.35">
      <c r="A7" s="11" t="s">
        <v>21</v>
      </c>
      <c r="B7" s="12">
        <v>0.67230000000000001</v>
      </c>
      <c r="C7" s="12">
        <v>21.616</v>
      </c>
      <c r="D7" s="12">
        <v>15.504</v>
      </c>
      <c r="E7" s="12">
        <v>7.7060000000000004</v>
      </c>
      <c r="F7" s="4">
        <v>5232.33</v>
      </c>
      <c r="G7" s="13">
        <f t="shared" si="0"/>
        <v>1.5032649153781028</v>
      </c>
      <c r="H7" s="4"/>
      <c r="I7" s="11">
        <v>147.21</v>
      </c>
      <c r="J7" s="4">
        <v>3.0253000000000001</v>
      </c>
      <c r="K7" s="4">
        <v>1.7282</v>
      </c>
      <c r="L7" s="4" t="s">
        <v>52</v>
      </c>
      <c r="M7" s="14"/>
    </row>
    <row r="8" spans="1:15" ht="15" customHeight="1" x14ac:dyDescent="0.35">
      <c r="A8" s="11" t="s">
        <v>22</v>
      </c>
      <c r="B8" s="12">
        <v>0.73299999999999998</v>
      </c>
      <c r="C8" s="12">
        <v>24.641999999999999</v>
      </c>
      <c r="D8" s="12">
        <v>8.8070000000000004</v>
      </c>
      <c r="E8" s="12">
        <v>7.7060000000000004</v>
      </c>
      <c r="F8" s="4">
        <v>5235.2568000000001</v>
      </c>
      <c r="G8" s="13">
        <f t="shared" si="0"/>
        <v>1.504193146387871</v>
      </c>
      <c r="I8" s="11">
        <v>152.6</v>
      </c>
      <c r="J8" s="4">
        <v>3.0253000000000001</v>
      </c>
      <c r="K8" s="4">
        <v>1.7458</v>
      </c>
      <c r="L8" s="4" t="s">
        <v>52</v>
      </c>
      <c r="M8" s="14"/>
    </row>
    <row r="9" spans="1:15" ht="15" customHeight="1" x14ac:dyDescent="0.35">
      <c r="A9" s="11" t="s">
        <v>23</v>
      </c>
      <c r="B9" s="12">
        <v>0.66239999999999999</v>
      </c>
      <c r="C9" s="12">
        <v>23.39</v>
      </c>
      <c r="D9" s="12">
        <v>10.632999999999999</v>
      </c>
      <c r="E9" s="12">
        <v>7.7060000000000004</v>
      </c>
      <c r="F9" s="4">
        <v>5240.68</v>
      </c>
      <c r="G9" s="13">
        <f t="shared" si="0"/>
        <v>1.5059131075783094</v>
      </c>
      <c r="H9" s="4"/>
      <c r="I9" s="11">
        <v>145.97</v>
      </c>
      <c r="J9" s="4">
        <v>3.0253000000000001</v>
      </c>
      <c r="K9" s="4">
        <v>1.704</v>
      </c>
      <c r="L9" s="4" t="s">
        <v>52</v>
      </c>
      <c r="M9" s="14"/>
    </row>
    <row r="10" spans="1:15" ht="15" customHeight="1" x14ac:dyDescent="0.35">
      <c r="A10" s="11" t="s">
        <v>24</v>
      </c>
      <c r="B10" s="12">
        <v>0.86550000000000005</v>
      </c>
      <c r="C10" s="12">
        <v>24.033999999999999</v>
      </c>
      <c r="D10" s="12">
        <v>10.686</v>
      </c>
      <c r="E10" s="12">
        <v>7.7060000000000004</v>
      </c>
      <c r="F10" s="4">
        <v>5239.4408999999996</v>
      </c>
      <c r="G10" s="13">
        <f t="shared" si="0"/>
        <v>1.5055201285417492</v>
      </c>
      <c r="H10" s="4"/>
      <c r="I10" s="11">
        <v>165.04</v>
      </c>
      <c r="J10" s="4">
        <v>3.0253000000000001</v>
      </c>
      <c r="K10" s="4"/>
      <c r="L10" s="4" t="s">
        <v>52</v>
      </c>
      <c r="M10" s="14"/>
    </row>
    <row r="11" spans="1:15" ht="15" customHeight="1" x14ac:dyDescent="0.35">
      <c r="A11" s="11" t="s">
        <v>25</v>
      </c>
      <c r="B11" s="12">
        <v>0.74360000000000004</v>
      </c>
      <c r="C11" s="12">
        <v>19.914000000000001</v>
      </c>
      <c r="D11" s="12">
        <v>10.282</v>
      </c>
      <c r="E11" s="12">
        <v>7.7060000000000004</v>
      </c>
      <c r="F11" s="4">
        <v>5238.7420000000002</v>
      </c>
      <c r="G11" s="13">
        <f t="shared" si="0"/>
        <v>1.5052984732688484</v>
      </c>
      <c r="H11" s="4"/>
      <c r="I11" s="11">
        <v>153.61000000000001</v>
      </c>
      <c r="J11" s="4">
        <v>3.0253000000000001</v>
      </c>
      <c r="K11" s="4"/>
      <c r="L11" s="4" t="s">
        <v>52</v>
      </c>
      <c r="M11" s="14"/>
    </row>
    <row r="12" spans="1:15" ht="15" customHeight="1" x14ac:dyDescent="0.35">
      <c r="A12" s="11" t="s">
        <v>26</v>
      </c>
      <c r="B12" s="12">
        <v>0.87770000000000004</v>
      </c>
      <c r="C12" s="12">
        <v>25.585000000000001</v>
      </c>
      <c r="D12" s="12">
        <v>9.85</v>
      </c>
      <c r="E12" s="12">
        <v>7.7060000000000004</v>
      </c>
      <c r="F12" s="4">
        <v>5247.2168000000001</v>
      </c>
      <c r="G12" s="13">
        <f t="shared" si="0"/>
        <v>1.5079862456351132</v>
      </c>
      <c r="H12" s="4"/>
      <c r="I12" s="11">
        <v>166.19</v>
      </c>
      <c r="J12" s="4">
        <v>3.0253000000000001</v>
      </c>
      <c r="K12" s="4">
        <v>1.7347999999999999</v>
      </c>
      <c r="L12" s="4" t="s">
        <v>52</v>
      </c>
      <c r="M12" s="14"/>
    </row>
    <row r="13" spans="1:15" ht="15" customHeight="1" x14ac:dyDescent="0.35">
      <c r="A13" s="11" t="s">
        <v>27</v>
      </c>
      <c r="B13" s="12">
        <v>0.75170000000000003</v>
      </c>
      <c r="C13" s="12">
        <v>19.698</v>
      </c>
      <c r="D13" s="12">
        <v>13.930999999999999</v>
      </c>
      <c r="E13" s="12">
        <v>7.7060000000000004</v>
      </c>
      <c r="F13" s="4">
        <v>5236.4989999999998</v>
      </c>
      <c r="G13" s="13">
        <f t="shared" si="0"/>
        <v>1.5045871085856071</v>
      </c>
      <c r="H13" s="4"/>
      <c r="I13" s="11">
        <v>154.41999999999999</v>
      </c>
      <c r="J13" s="4">
        <v>3.0253000000000001</v>
      </c>
      <c r="K13" s="4"/>
      <c r="L13" s="4" t="s">
        <v>52</v>
      </c>
      <c r="M13" s="14"/>
    </row>
    <row r="14" spans="1:15" ht="15" customHeight="1" x14ac:dyDescent="0.35">
      <c r="A14" s="11" t="s">
        <v>28</v>
      </c>
      <c r="B14" s="12">
        <v>0.65649999999999997</v>
      </c>
      <c r="C14" s="12">
        <v>25.741</v>
      </c>
      <c r="D14" s="12">
        <v>14.162000000000001</v>
      </c>
      <c r="E14" s="12">
        <v>7.7060000000000004</v>
      </c>
      <c r="F14" s="4">
        <v>5247.4462999999996</v>
      </c>
      <c r="G14" s="13">
        <f t="shared" si="0"/>
        <v>1.5080590312770228</v>
      </c>
      <c r="H14" s="4"/>
      <c r="I14" s="11">
        <v>145.41</v>
      </c>
      <c r="J14" s="4">
        <v>3.0253000000000001</v>
      </c>
      <c r="K14" s="4"/>
      <c r="L14" s="4" t="s">
        <v>52</v>
      </c>
      <c r="M14" s="14"/>
    </row>
    <row r="15" spans="1:15" ht="15" customHeight="1" x14ac:dyDescent="0.35">
      <c r="A15" s="11" t="s">
        <v>29</v>
      </c>
      <c r="B15" s="12">
        <v>0.88219999999999998</v>
      </c>
      <c r="C15" s="12">
        <v>24.881</v>
      </c>
      <c r="D15" s="12">
        <v>9.2089999999999996</v>
      </c>
      <c r="E15" s="12">
        <v>7.7060000000000004</v>
      </c>
      <c r="F15" s="4">
        <v>5237.46</v>
      </c>
      <c r="G15" s="13">
        <f t="shared" si="0"/>
        <v>1.5048918885502058</v>
      </c>
      <c r="H15" s="4"/>
      <c r="I15" s="11">
        <v>166.61</v>
      </c>
      <c r="J15" s="4">
        <v>3.0253000000000001</v>
      </c>
      <c r="K15" s="4"/>
      <c r="L15" s="4" t="s">
        <v>52</v>
      </c>
      <c r="M15" s="14"/>
    </row>
    <row r="16" spans="1:15" ht="15" customHeight="1" x14ac:dyDescent="0.35">
      <c r="A16" s="11" t="s">
        <v>30</v>
      </c>
      <c r="B16" s="12">
        <v>0.68959999999999999</v>
      </c>
      <c r="C16" s="12">
        <v>21.959</v>
      </c>
      <c r="D16" s="12">
        <v>15.285</v>
      </c>
      <c r="E16" s="12">
        <v>7.7060000000000004</v>
      </c>
      <c r="F16" s="4">
        <v>5253.1229999999996</v>
      </c>
      <c r="G16" s="13">
        <f t="shared" si="0"/>
        <v>1.509859389679767</v>
      </c>
      <c r="H16" s="4"/>
      <c r="I16" s="11">
        <v>148.52000000000001</v>
      </c>
      <c r="J16" s="4">
        <v>3.0253000000000001</v>
      </c>
      <c r="K16" s="4"/>
      <c r="L16" s="4" t="s">
        <v>52</v>
      </c>
      <c r="M16" s="14"/>
    </row>
    <row r="17" spans="1:19" ht="15" customHeight="1" x14ac:dyDescent="0.35">
      <c r="A17" s="11" t="s">
        <v>31</v>
      </c>
      <c r="B17" s="12">
        <v>0.79259999999999997</v>
      </c>
      <c r="C17" s="12">
        <v>22.009</v>
      </c>
      <c r="D17" s="12">
        <v>10.045999999999999</v>
      </c>
      <c r="E17" s="12">
        <v>7.7060000000000004</v>
      </c>
      <c r="F17" s="4">
        <v>5244.0771000000004</v>
      </c>
      <c r="G17" s="13">
        <f t="shared" si="0"/>
        <v>1.5069904936529588</v>
      </c>
      <c r="H17" s="4"/>
      <c r="I17" s="11">
        <v>158.19</v>
      </c>
      <c r="J17" s="4">
        <v>3.0253000000000001</v>
      </c>
      <c r="K17" s="4"/>
      <c r="L17" s="4" t="s">
        <v>52</v>
      </c>
      <c r="M17" s="14"/>
      <c r="S17" t="s">
        <v>54</v>
      </c>
    </row>
    <row r="18" spans="1:19" ht="15" customHeight="1" x14ac:dyDescent="0.35">
      <c r="A18" s="11" t="s">
        <v>32</v>
      </c>
      <c r="B18" s="12">
        <v>0.83630000000000004</v>
      </c>
      <c r="C18" s="12">
        <v>23.741</v>
      </c>
      <c r="D18" s="12">
        <v>13.016</v>
      </c>
      <c r="E18" s="12">
        <v>7.7060000000000004</v>
      </c>
      <c r="F18" s="4">
        <v>5244.21</v>
      </c>
      <c r="G18" s="13">
        <f t="shared" si="0"/>
        <v>1.5070326427240255</v>
      </c>
      <c r="H18" s="4"/>
      <c r="I18" s="11">
        <v>162.30000000000001</v>
      </c>
      <c r="J18" s="4">
        <v>3.0253000000000001</v>
      </c>
      <c r="K18" s="4"/>
      <c r="L18" s="4" t="s">
        <v>52</v>
      </c>
      <c r="M18" s="14"/>
    </row>
    <row r="19" spans="1:19" ht="15" customHeight="1" x14ac:dyDescent="0.35">
      <c r="A19" s="11" t="s">
        <v>33</v>
      </c>
      <c r="B19" s="12">
        <v>0.63870000000000005</v>
      </c>
      <c r="C19" s="12">
        <v>21.073</v>
      </c>
      <c r="D19" s="12">
        <v>8.4730000000000008</v>
      </c>
      <c r="E19" s="12">
        <v>7.7060000000000004</v>
      </c>
      <c r="F19" s="4">
        <v>5237.5569999999998</v>
      </c>
      <c r="G19" s="13">
        <f t="shared" si="0"/>
        <v>1.5049226519805554</v>
      </c>
      <c r="H19" s="4"/>
      <c r="I19" s="11">
        <v>145.1</v>
      </c>
      <c r="J19" s="4">
        <v>3.0253000000000001</v>
      </c>
      <c r="K19" s="4"/>
      <c r="L19" s="4" t="s">
        <v>52</v>
      </c>
      <c r="M19" s="14"/>
    </row>
    <row r="20" spans="1:19" ht="15" customHeight="1" x14ac:dyDescent="0.35">
      <c r="A20" s="11" t="s">
        <v>34</v>
      </c>
      <c r="B20" s="12">
        <v>0.61329999999999996</v>
      </c>
      <c r="C20" s="12">
        <v>21.35</v>
      </c>
      <c r="D20" s="12">
        <v>8.0449999999999999</v>
      </c>
      <c r="E20" s="12">
        <v>7.7060000000000004</v>
      </c>
      <c r="F20" s="4">
        <v>5244.13</v>
      </c>
      <c r="G20" s="13">
        <f t="shared" si="0"/>
        <v>1.5070072708227062</v>
      </c>
      <c r="H20" s="4"/>
      <c r="I20" s="11">
        <v>143.22</v>
      </c>
      <c r="J20" s="4">
        <v>3.0253000000000001</v>
      </c>
      <c r="K20" s="4"/>
      <c r="L20" s="4" t="s">
        <v>52</v>
      </c>
      <c r="M20" s="14"/>
    </row>
    <row r="21" spans="1:19" ht="15" customHeight="1" x14ac:dyDescent="0.35">
      <c r="A21" s="11" t="s">
        <v>35</v>
      </c>
      <c r="B21" s="12">
        <v>0.84299999999999997</v>
      </c>
      <c r="C21" s="12">
        <v>18.716999999999999</v>
      </c>
      <c r="D21" s="12">
        <v>13.111000000000001</v>
      </c>
      <c r="E21" s="12">
        <v>7.7060000000000004</v>
      </c>
      <c r="F21" s="4">
        <v>5253.76</v>
      </c>
      <c r="G21" s="13">
        <f t="shared" si="0"/>
        <v>1.5100614134440224</v>
      </c>
      <c r="H21" s="4"/>
      <c r="I21" s="11">
        <v>162.93</v>
      </c>
      <c r="J21" s="4">
        <v>3.0253000000000001</v>
      </c>
      <c r="K21" s="4"/>
      <c r="L21" s="4" t="s">
        <v>52</v>
      </c>
      <c r="M21" s="14"/>
    </row>
    <row r="22" spans="1:19" ht="15" customHeight="1" x14ac:dyDescent="0.35">
      <c r="A22" s="11" t="s">
        <v>36</v>
      </c>
      <c r="B22" s="12">
        <v>0.72199999999999998</v>
      </c>
      <c r="C22" s="12">
        <v>22.963000000000001</v>
      </c>
      <c r="D22" s="12">
        <v>15.923</v>
      </c>
      <c r="E22" s="12">
        <v>7.7060000000000004</v>
      </c>
      <c r="F22" s="4">
        <v>5244</v>
      </c>
      <c r="G22" s="13">
        <f t="shared" si="0"/>
        <v>1.5069660414830621</v>
      </c>
      <c r="H22" s="4"/>
      <c r="I22" s="11">
        <v>151.56</v>
      </c>
      <c r="J22" s="4">
        <v>3.0253000000000001</v>
      </c>
      <c r="K22" s="4"/>
      <c r="L22" s="4" t="s">
        <v>52</v>
      </c>
      <c r="M22" s="14"/>
    </row>
    <row r="23" spans="1:19" ht="15" customHeight="1" x14ac:dyDescent="0.35">
      <c r="A23" s="11" t="s">
        <v>37</v>
      </c>
      <c r="B23" s="12">
        <v>0.60319999999999996</v>
      </c>
      <c r="C23" s="12">
        <v>20.896000000000001</v>
      </c>
      <c r="D23" s="12">
        <v>12.212999999999999</v>
      </c>
      <c r="E23" s="12">
        <v>7.7060000000000004</v>
      </c>
      <c r="F23" s="4">
        <v>5251.9610000000002</v>
      </c>
      <c r="G23" s="13">
        <f t="shared" si="0"/>
        <v>1.5094908628131036</v>
      </c>
      <c r="H23" s="4"/>
      <c r="I23" s="11">
        <v>145.91</v>
      </c>
      <c r="J23" s="4">
        <v>3.0253000000000001</v>
      </c>
      <c r="K23" s="4">
        <v>1.7050000000000001</v>
      </c>
      <c r="L23" s="4" t="s">
        <v>52</v>
      </c>
      <c r="M23" s="14"/>
    </row>
    <row r="24" spans="1:19" ht="15" customHeight="1" x14ac:dyDescent="0.35">
      <c r="A24" s="11" t="s">
        <v>38</v>
      </c>
      <c r="B24" s="12">
        <v>0.64990000000000003</v>
      </c>
      <c r="C24" s="12">
        <v>20.457000000000001</v>
      </c>
      <c r="D24" s="12">
        <v>14.756</v>
      </c>
      <c r="E24" s="12">
        <v>7.7060000000000004</v>
      </c>
      <c r="F24" s="4">
        <v>5238.8969999999999</v>
      </c>
      <c r="G24" s="13">
        <f t="shared" si="0"/>
        <v>1.5053476313276544</v>
      </c>
      <c r="H24" s="4"/>
      <c r="I24" s="11">
        <v>150.59</v>
      </c>
      <c r="J24" s="4">
        <v>3.0253000000000001</v>
      </c>
      <c r="K24" s="4"/>
      <c r="L24" s="4" t="s">
        <v>52</v>
      </c>
      <c r="M24" s="14"/>
    </row>
    <row r="25" spans="1:19" ht="15" customHeight="1" x14ac:dyDescent="0.35">
      <c r="A25" s="11" t="s">
        <v>39</v>
      </c>
      <c r="B25" s="12">
        <v>0.89290000000000003</v>
      </c>
      <c r="C25" s="12">
        <v>24.192</v>
      </c>
      <c r="D25" s="12">
        <v>12.411</v>
      </c>
      <c r="E25" s="12">
        <v>7.7060000000000004</v>
      </c>
      <c r="F25" s="4">
        <v>5244.21</v>
      </c>
      <c r="G25" s="13">
        <f t="shared" si="0"/>
        <v>1.5070326427240255</v>
      </c>
      <c r="H25" s="4"/>
      <c r="I25" s="11">
        <v>167.62</v>
      </c>
      <c r="J25" s="4">
        <v>3.0253000000000001</v>
      </c>
      <c r="K25" s="4"/>
      <c r="L25" s="4" t="s">
        <v>52</v>
      </c>
      <c r="M25" s="14"/>
    </row>
    <row r="26" spans="1:19" ht="15" hidden="1" customHeight="1" x14ac:dyDescent="0.35">
      <c r="A26" s="11" t="s">
        <v>40</v>
      </c>
      <c r="B26" s="12">
        <v>0.81430000000000002</v>
      </c>
      <c r="C26" s="12">
        <v>22.763000000000002</v>
      </c>
      <c r="D26" s="12">
        <v>11.436</v>
      </c>
      <c r="E26" s="12">
        <v>7.7060000000000004</v>
      </c>
      <c r="F26" s="4"/>
      <c r="G26" s="13" t="str">
        <f t="shared" si="0"/>
        <v/>
      </c>
      <c r="H26" s="4"/>
      <c r="I26" s="11">
        <v>160.24</v>
      </c>
      <c r="J26" s="4">
        <v>3.0253000000000001</v>
      </c>
      <c r="K26" s="4"/>
      <c r="L26" s="4" t="s">
        <v>52</v>
      </c>
      <c r="M26" s="14"/>
    </row>
    <row r="27" spans="1:19" ht="15" customHeight="1" x14ac:dyDescent="0.35">
      <c r="A27" s="11" t="s">
        <v>41</v>
      </c>
      <c r="B27" s="12">
        <v>0.85329999999999995</v>
      </c>
      <c r="C27" s="12">
        <v>19.207999999999998</v>
      </c>
      <c r="D27" s="12">
        <v>13.715999999999999</v>
      </c>
      <c r="E27" s="12">
        <v>7.7060000000000004</v>
      </c>
      <c r="F27" s="4">
        <v>5244.08</v>
      </c>
      <c r="G27" s="13">
        <f t="shared" si="0"/>
        <v>1.5069914133843816</v>
      </c>
      <c r="H27" s="4"/>
      <c r="I27" s="11">
        <v>163.9</v>
      </c>
      <c r="J27" s="4">
        <v>3.0253000000000001</v>
      </c>
      <c r="K27" s="4"/>
      <c r="L27" s="4" t="s">
        <v>52</v>
      </c>
      <c r="M27" s="14"/>
    </row>
    <row r="28" spans="1:19" ht="15" hidden="1" customHeight="1" x14ac:dyDescent="0.35">
      <c r="A28" s="11" t="s">
        <v>42</v>
      </c>
      <c r="B28" s="12">
        <v>0.76239999999999997</v>
      </c>
      <c r="C28" s="12">
        <v>22.364000000000001</v>
      </c>
      <c r="D28" s="12">
        <v>12.651999999999999</v>
      </c>
      <c r="E28" s="12">
        <v>7.7060000000000004</v>
      </c>
      <c r="F28" s="4"/>
      <c r="G28" s="13" t="str">
        <f t="shared" si="0"/>
        <v/>
      </c>
      <c r="H28" s="4"/>
      <c r="I28" s="11">
        <v>155.36000000000001</v>
      </c>
      <c r="J28" s="4">
        <v>3.0253000000000001</v>
      </c>
      <c r="K28" s="4"/>
      <c r="L28" s="4" t="s">
        <v>52</v>
      </c>
      <c r="M28" s="14"/>
    </row>
    <row r="29" spans="1:19" ht="15" hidden="1" customHeight="1" x14ac:dyDescent="0.35">
      <c r="A29" s="11" t="s">
        <v>43</v>
      </c>
      <c r="B29" s="12">
        <v>0.78439999999999999</v>
      </c>
      <c r="C29" s="12">
        <v>18.452000000000002</v>
      </c>
      <c r="D29" s="12">
        <v>9.5920000000000005</v>
      </c>
      <c r="E29" s="12">
        <v>7.7060000000000004</v>
      </c>
      <c r="F29" s="4"/>
      <c r="G29" s="13" t="str">
        <f t="shared" si="0"/>
        <v/>
      </c>
      <c r="H29" s="4"/>
      <c r="I29" s="11">
        <v>157.77000000000001</v>
      </c>
      <c r="J29" s="4">
        <v>3.0253000000000001</v>
      </c>
      <c r="K29" s="4"/>
      <c r="L29" s="4" t="s">
        <v>52</v>
      </c>
      <c r="M29" s="14"/>
    </row>
    <row r="30" spans="1:19" ht="16" customHeight="1" x14ac:dyDescent="0.35">
      <c r="A30" s="11" t="s">
        <v>44</v>
      </c>
      <c r="B30" s="12">
        <v>0.6956</v>
      </c>
      <c r="C30" s="12">
        <v>25.143000000000001</v>
      </c>
      <c r="D30" s="12">
        <v>14.558</v>
      </c>
      <c r="E30" s="12">
        <v>7.7060000000000004</v>
      </c>
      <c r="F30" s="4">
        <v>5239.2700000000004</v>
      </c>
      <c r="G30" s="13">
        <f t="shared" si="0"/>
        <v>1.5054659278175559</v>
      </c>
      <c r="H30" s="4"/>
      <c r="I30" s="11">
        <v>149.09</v>
      </c>
      <c r="J30" s="4">
        <v>3.0253000000000001</v>
      </c>
      <c r="K30" s="4"/>
      <c r="L30" s="4" t="s">
        <v>52</v>
      </c>
      <c r="M30" s="14"/>
    </row>
    <row r="31" spans="1:19" ht="15" hidden="1" customHeight="1" x14ac:dyDescent="0.35">
      <c r="A31" s="11" t="s">
        <v>45</v>
      </c>
      <c r="B31" s="12">
        <v>0.62150000000000005</v>
      </c>
      <c r="C31" s="12">
        <v>19.004000000000001</v>
      </c>
      <c r="D31" s="12">
        <v>8.7840000000000007</v>
      </c>
      <c r="E31" s="12">
        <v>7.7060000000000004</v>
      </c>
      <c r="F31" s="4"/>
      <c r="G31" s="13" t="str">
        <f t="shared" si="0"/>
        <v/>
      </c>
      <c r="H31" s="4"/>
      <c r="I31" s="11">
        <v>149.19999999999999</v>
      </c>
      <c r="J31" s="4">
        <v>3.0253000000000001</v>
      </c>
      <c r="K31" s="4"/>
      <c r="L31" s="4" t="s">
        <v>52</v>
      </c>
      <c r="M31" s="14"/>
    </row>
    <row r="32" spans="1:19" ht="15" hidden="1" customHeight="1" x14ac:dyDescent="0.35">
      <c r="A32" s="11" t="s">
        <v>46</v>
      </c>
      <c r="B32" s="12">
        <v>0.80720000000000003</v>
      </c>
      <c r="C32" s="12">
        <v>18.187999999999999</v>
      </c>
      <c r="D32" s="12">
        <v>11.823</v>
      </c>
      <c r="E32" s="12">
        <v>7.7060000000000004</v>
      </c>
      <c r="F32" s="4"/>
      <c r="G32" s="13" t="str">
        <f t="shared" si="0"/>
        <v/>
      </c>
      <c r="H32" s="4"/>
      <c r="I32" s="11">
        <v>159.81</v>
      </c>
      <c r="J32" s="4">
        <v>3.0253000000000001</v>
      </c>
      <c r="K32" s="4"/>
      <c r="L32" s="4" t="s">
        <v>52</v>
      </c>
      <c r="M32" s="14"/>
    </row>
    <row r="33" spans="1:13" ht="15" hidden="1" customHeight="1" x14ac:dyDescent="0.35">
      <c r="A33" s="11" t="s">
        <v>47</v>
      </c>
      <c r="B33" s="12">
        <v>0.70440000000000003</v>
      </c>
      <c r="C33" s="12">
        <v>23.123999999999999</v>
      </c>
      <c r="D33" s="12">
        <v>11.555999999999999</v>
      </c>
      <c r="E33" s="12">
        <v>7.7060000000000004</v>
      </c>
      <c r="F33" s="4"/>
      <c r="G33" s="13" t="str">
        <f t="shared" si="0"/>
        <v/>
      </c>
      <c r="H33" s="4"/>
      <c r="I33" s="11">
        <v>149.91999999999999</v>
      </c>
      <c r="J33" s="4">
        <v>3.0253000000000001</v>
      </c>
      <c r="K33" s="4"/>
      <c r="L33" s="4" t="s">
        <v>52</v>
      </c>
      <c r="M33" s="14"/>
    </row>
    <row r="34" spans="1:13" ht="15" hidden="1" customHeight="1" x14ac:dyDescent="0.35">
      <c r="A34" s="11" t="s">
        <v>48</v>
      </c>
      <c r="B34" s="12">
        <v>0.82589999999999997</v>
      </c>
      <c r="C34" s="12">
        <v>20.183</v>
      </c>
      <c r="D34" s="12">
        <v>15.154999999999999</v>
      </c>
      <c r="E34" s="12">
        <v>7.7060000000000004</v>
      </c>
      <c r="F34" s="4"/>
      <c r="G34" s="13" t="str">
        <f t="shared" si="0"/>
        <v/>
      </c>
      <c r="H34" s="4"/>
      <c r="I34" s="11">
        <v>161.33000000000001</v>
      </c>
      <c r="J34" s="4">
        <v>3.0253000000000001</v>
      </c>
      <c r="K34" s="4"/>
      <c r="L34" s="4" t="s">
        <v>52</v>
      </c>
      <c r="M34" s="14"/>
    </row>
    <row r="35" spans="1:13" ht="15" customHeight="1" x14ac:dyDescent="0.35">
      <c r="A35" s="11" t="s">
        <v>49</v>
      </c>
      <c r="B35" s="12">
        <v>0.7198</v>
      </c>
      <c r="C35" s="12">
        <v>25.443000000000001</v>
      </c>
      <c r="D35" s="12">
        <v>13.407</v>
      </c>
      <c r="E35" s="12">
        <v>7.7060000000000004</v>
      </c>
      <c r="F35" s="4">
        <v>5245.56</v>
      </c>
      <c r="G35" s="13">
        <f t="shared" si="0"/>
        <v>1.5074607935587896</v>
      </c>
      <c r="H35" s="4"/>
      <c r="I35" s="11">
        <v>151.36000000000001</v>
      </c>
      <c r="J35" s="4">
        <v>3.0253000000000001</v>
      </c>
      <c r="K35" s="4"/>
      <c r="L35" s="4" t="s">
        <v>52</v>
      </c>
      <c r="M35" s="14"/>
    </row>
    <row r="36" spans="1:13" ht="15" customHeight="1" x14ac:dyDescent="0.35">
      <c r="A36" s="11" t="s">
        <v>50</v>
      </c>
      <c r="B36" s="12">
        <v>0.77539999999999998</v>
      </c>
      <c r="C36" s="12">
        <v>19.556999999999999</v>
      </c>
      <c r="D36" s="12">
        <v>11.066000000000001</v>
      </c>
      <c r="E36" s="12">
        <v>7.7060000000000004</v>
      </c>
      <c r="F36" s="4">
        <v>5239.8590000000004</v>
      </c>
      <c r="G36" s="13">
        <f t="shared" si="0"/>
        <v>1.5056527284410197</v>
      </c>
      <c r="H36" s="4"/>
      <c r="I36" s="11">
        <v>156.58000000000001</v>
      </c>
      <c r="J36" s="4">
        <v>3.0253000000000001</v>
      </c>
      <c r="K36" s="4">
        <v>1.7347999999999999</v>
      </c>
      <c r="L36" s="4" t="s">
        <v>52</v>
      </c>
      <c r="M36" s="14"/>
    </row>
    <row r="38" spans="1:13" ht="15" customHeight="1" x14ac:dyDescent="0.35">
      <c r="A38" s="17" t="s">
        <v>51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5" customHeight="1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5" customHeight="1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5" customHeight="1" x14ac:dyDescent="0.3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</row>
  </sheetData>
  <mergeCells count="3">
    <mergeCell ref="A1:N1"/>
    <mergeCell ref="A2:N2"/>
    <mergeCell ref="A38:M4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Sweep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Aryan Girish</cp:lastModifiedBy>
  <cp:revision>0</cp:revision>
  <dcterms:created xsi:type="dcterms:W3CDTF">2026-09-02T18:59:40Z</dcterms:created>
  <dcterms:modified xsi:type="dcterms:W3CDTF">2026-09-08T16:02:59Z</dcterms:modified>
  <dc:language>en-US</dc:language>
</cp:coreProperties>
</file>